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455\Desktop\git\robowalker_power_sampler_test\"/>
    </mc:Choice>
  </mc:AlternateContent>
  <xr:revisionPtr revIDLastSave="0" documentId="13_ncr:1_{6BD20C1B-C0F7-46EA-8B9D-852925230431}" xr6:coauthVersionLast="47" xr6:coauthVersionMax="47" xr10:uidLastSave="{00000000-0000-0000-0000-000000000000}"/>
  <bookViews>
    <workbookView xWindow="38280" yWindow="-120" windowWidth="29040" windowHeight="15720" xr2:uid="{890307B2-574E-466F-AFE9-F162DAA48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 a="1"/>
  <c r="B11" i="1" s="1"/>
  <c r="B10" i="1" a="1"/>
  <c r="B10" i="1" s="1"/>
  <c r="B4" i="1" a="1"/>
  <c r="B4" i="1" s="1"/>
  <c r="B5" i="1" a="1"/>
  <c r="B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<sst xmlns="http://schemas.openxmlformats.org/spreadsheetml/2006/main" count="10" uniqueCount="6">
  <si>
    <t>adc_value</t>
    <phoneticPr fontId="1" type="noConversion"/>
  </si>
  <si>
    <t>斜率</t>
    <phoneticPr fontId="1" type="noConversion"/>
  </si>
  <si>
    <t>截距</t>
    <phoneticPr fontId="1" type="noConversion"/>
  </si>
  <si>
    <t>board2_voltage</t>
    <phoneticPr fontId="1" type="noConversion"/>
  </si>
  <si>
    <t>load_value</t>
    <phoneticPr fontId="1" type="noConversion"/>
  </si>
  <si>
    <t>board2_current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</si>
</sst>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ECAC0-7345-45AF-8A5F-8DDB44EA71A1}">
  <dimension ref="A1:R11"/>
  <sheetViews>
    <sheetView tabSelected="1" zoomScale="115" zoomScaleNormal="115" workbookViewId="0">
      <selection activeCell="B10" sqref="B10"/>
    </sheetView>
  </sheetViews>
  <sheetFormatPr defaultRowHeight="14" x14ac:dyDescent="0.3"/>
  <cols>
    <col min="1" max="1" width="13.75" bestFit="1" customWidth="1"/>
    <col min="2" max="2" width="13.33203125" bestFit="1" customWidth="1"/>
    <col min="3" max="5" width="7.1640625" bestFit="1" customWidth="1"/>
    <col min="6" max="8" width="5.1640625" bestFit="1" customWidth="1"/>
    <col min="9" max="18" width="7.1640625" bestFit="1" customWidth="1"/>
  </cols>
  <sheetData>
    <row r="1" spans="1:18" x14ac:dyDescent="0.3">
      <c r="A1" t="s">
        <v>3</v>
      </c>
    </row>
    <row r="2" spans="1:18" x14ac:dyDescent="0.3">
      <c r="A2" t="s">
        <v>0</v>
      </c>
      <c r="B2">
        <v>1421.5</v>
      </c>
      <c r="C2">
        <v>1539.5</v>
      </c>
      <c r="D2">
        <v>1657.5</v>
      </c>
      <c r="E2">
        <v>1775.5</v>
      </c>
      <c r="F2">
        <v>1893</v>
      </c>
      <c r="G2">
        <v>2011</v>
      </c>
      <c r="H2">
        <v>2129</v>
      </c>
      <c r="I2">
        <v>2246.5</v>
      </c>
      <c r="J2">
        <v>2364.5</v>
      </c>
      <c r="K2">
        <v>2423.5</v>
      </c>
      <c r="L2">
        <v>2482.5</v>
      </c>
      <c r="M2">
        <v>2541.5</v>
      </c>
      <c r="N2">
        <v>2600.5</v>
      </c>
      <c r="O2">
        <v>2659.5</v>
      </c>
      <c r="P2">
        <v>2718.5</v>
      </c>
      <c r="Q2">
        <v>2777.5</v>
      </c>
      <c r="R2">
        <v>2836.5</v>
      </c>
    </row>
    <row r="3" spans="1:18" x14ac:dyDescent="0.3">
      <c r="A3" t="s">
        <v>4</v>
      </c>
      <c r="B3">
        <v>12</v>
      </c>
      <c r="C3">
        <v>13</v>
      </c>
      <c r="D3">
        <v>14</v>
      </c>
      <c r="E3">
        <v>15</v>
      </c>
      <c r="F3">
        <v>16</v>
      </c>
      <c r="G3">
        <v>17</v>
      </c>
      <c r="H3">
        <v>18</v>
      </c>
      <c r="I3">
        <v>19</v>
      </c>
      <c r="J3">
        <v>20</v>
      </c>
      <c r="K3">
        <v>20.5</v>
      </c>
      <c r="L3">
        <v>21</v>
      </c>
      <c r="M3">
        <v>21.5</v>
      </c>
      <c r="N3">
        <v>22</v>
      </c>
      <c r="O3">
        <v>22.5</v>
      </c>
      <c r="P3">
        <v>23</v>
      </c>
      <c r="Q3">
        <v>23.5</v>
      </c>
      <c r="R3">
        <v>24</v>
      </c>
    </row>
    <row r="4" spans="1:18" x14ac:dyDescent="0.3">
      <c r="A4" t="s">
        <v>1</v>
      </c>
      <c r="B4" cm="1">
        <f t="array" ref="B4">INDEX(LINEST(B3:R3,B2:R2),1)</f>
        <v>8.482093229689484E-3</v>
      </c>
    </row>
    <row r="5" spans="1:18" x14ac:dyDescent="0.3">
      <c r="A5" t="s">
        <v>2</v>
      </c>
      <c r="B5" cm="1">
        <f t="array" ref="B5">INDEX(LINEST(B3:R3,B2:R2),2)</f>
        <v>-5.77144705950694E-2</v>
      </c>
    </row>
    <row r="7" spans="1:18" x14ac:dyDescent="0.3">
      <c r="A7" t="s">
        <v>5</v>
      </c>
    </row>
    <row r="8" spans="1:18" x14ac:dyDescent="0.3">
      <c r="A8" t="s">
        <v>0</v>
      </c>
      <c r="B8">
        <v>2045.5</v>
      </c>
      <c r="C8">
        <v>2166</v>
      </c>
      <c r="D8">
        <v>2295</v>
      </c>
      <c r="E8">
        <v>2419</v>
      </c>
      <c r="F8">
        <v>2545</v>
      </c>
      <c r="G8">
        <v>2672.5</v>
      </c>
      <c r="H8">
        <v>2795.5</v>
      </c>
      <c r="I8">
        <v>2919</v>
      </c>
      <c r="J8">
        <v>3045.5</v>
      </c>
      <c r="K8">
        <v>3172</v>
      </c>
      <c r="L8">
        <v>3295</v>
      </c>
      <c r="M8">
        <v>3541</v>
      </c>
      <c r="N8">
        <v>3791.5</v>
      </c>
      <c r="O8">
        <v>4045.5</v>
      </c>
    </row>
    <row r="9" spans="1:18" x14ac:dyDescent="0.3">
      <c r="A9" t="s">
        <v>4</v>
      </c>
      <c r="B9">
        <v>0</v>
      </c>
      <c r="C9">
        <v>0.2</v>
      </c>
      <c r="D9">
        <v>0.4</v>
      </c>
      <c r="E9">
        <v>0.6</v>
      </c>
      <c r="F9">
        <v>0.8</v>
      </c>
      <c r="G9">
        <v>1</v>
      </c>
      <c r="H9">
        <v>1.2</v>
      </c>
      <c r="I9">
        <v>1.4</v>
      </c>
      <c r="J9">
        <v>1.6</v>
      </c>
      <c r="K9">
        <v>1.8</v>
      </c>
      <c r="L9">
        <v>2</v>
      </c>
      <c r="M9">
        <v>2.4</v>
      </c>
      <c r="N9">
        <v>2.8</v>
      </c>
      <c r="O9">
        <v>3.2</v>
      </c>
    </row>
    <row r="10" spans="1:18" x14ac:dyDescent="0.3">
      <c r="A10" t="s">
        <v>1</v>
      </c>
      <c r="B10" cm="1">
        <f t="array" ref="B10">INDEX(LINEST(B9:O9,B8:O8),1)</f>
        <v>1.6006870679101753E-3</v>
      </c>
    </row>
    <row r="11" spans="1:18" x14ac:dyDescent="0.3">
      <c r="A11" t="s">
        <v>2</v>
      </c>
      <c r="B11" cm="1">
        <f t="array" ref="B11">INDEX(LINEST(B9:O9,B8:O8),2)</f>
        <v>-3.2731997602288438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2025-01-10T15:39:28Z</dcterms:created>
  <dcterms:modified xsi:type="dcterms:W3CDTF">2025-01-14T06:05:02Z</dcterms:modified>
</cp:coreProperties>
</file>